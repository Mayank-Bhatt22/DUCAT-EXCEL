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4fc930b2cb47e9/Desktop/Excel/"/>
    </mc:Choice>
  </mc:AlternateContent>
  <xr:revisionPtr revIDLastSave="535" documentId="8_{65B5B86D-EFF0-44F0-BE42-E498E1E836D7}" xr6:coauthVersionLast="47" xr6:coauthVersionMax="47" xr10:uidLastSave="{650A084F-E6C8-4789-9EC3-C59D9DE2C2D6}"/>
  <bookViews>
    <workbookView xWindow="-110" yWindow="-110" windowWidth="19420" windowHeight="10300" xr2:uid="{F25E56BB-D8F1-402B-96A1-B3E70B800C28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2" l="1"/>
  <c r="G31" i="2" s="1"/>
  <c r="H31" i="2" s="1"/>
  <c r="G29" i="2"/>
  <c r="I3" i="3"/>
  <c r="G7" i="2"/>
  <c r="D33" i="2"/>
  <c r="D32" i="2"/>
  <c r="D41" i="2"/>
  <c r="D40" i="2"/>
  <c r="D39" i="2"/>
  <c r="D38" i="2"/>
  <c r="D26" i="2"/>
  <c r="G25" i="2"/>
  <c r="G18" i="2"/>
  <c r="G24" i="2"/>
  <c r="H23" i="2"/>
  <c r="G23" i="2"/>
  <c r="G15" i="2"/>
  <c r="G22" i="2"/>
  <c r="G21" i="2"/>
  <c r="G12" i="2"/>
  <c r="G17" i="2"/>
  <c r="G16" i="2"/>
  <c r="G14" i="2"/>
  <c r="G13" i="2"/>
  <c r="G11" i="2"/>
  <c r="G10" i="2"/>
  <c r="D5" i="2"/>
  <c r="D31" i="2"/>
  <c r="D30" i="2"/>
  <c r="D29" i="2"/>
  <c r="D27" i="2"/>
  <c r="D25" i="2"/>
  <c r="D23" i="2"/>
  <c r="D22" i="2"/>
  <c r="D21" i="2"/>
  <c r="D20" i="2"/>
  <c r="D19" i="2"/>
  <c r="D18" i="2"/>
  <c r="D15" i="2"/>
  <c r="D17" i="2"/>
  <c r="D16" i="2"/>
  <c r="D13" i="2"/>
  <c r="D12" i="2"/>
  <c r="D11" i="2"/>
  <c r="D10" i="2"/>
  <c r="D9" i="2"/>
  <c r="D8" i="2"/>
  <c r="D7" i="2"/>
  <c r="D6" i="2"/>
  <c r="D4" i="2"/>
  <c r="D3" i="2"/>
  <c r="G28" i="2" l="1"/>
</calcChain>
</file>

<file path=xl/sharedStrings.xml><?xml version="1.0" encoding="utf-8"?>
<sst xmlns="http://schemas.openxmlformats.org/spreadsheetml/2006/main" count="96" uniqueCount="91">
  <si>
    <t>Data</t>
  </si>
  <si>
    <t>count</t>
  </si>
  <si>
    <t>Formula</t>
  </si>
  <si>
    <t>Value</t>
  </si>
  <si>
    <t>Sum</t>
  </si>
  <si>
    <t>Product</t>
  </si>
  <si>
    <t>min</t>
  </si>
  <si>
    <t>max</t>
  </si>
  <si>
    <t>avg</t>
  </si>
  <si>
    <t>median</t>
  </si>
  <si>
    <t>mode</t>
  </si>
  <si>
    <t>power</t>
  </si>
  <si>
    <t>round</t>
  </si>
  <si>
    <t xml:space="preserve">squareroot </t>
  </si>
  <si>
    <t xml:space="preserve">rand between </t>
  </si>
  <si>
    <t>varience</t>
  </si>
  <si>
    <t xml:space="preserve">standerd deviation </t>
  </si>
  <si>
    <t>Isnumber</t>
  </si>
  <si>
    <t>is even</t>
  </si>
  <si>
    <t>is odd</t>
  </si>
  <si>
    <t>is black</t>
  </si>
  <si>
    <t>exponential</t>
  </si>
  <si>
    <t>ln (log)</t>
  </si>
  <si>
    <t>log</t>
  </si>
  <si>
    <t>Date</t>
  </si>
  <si>
    <t>DATEVALUE</t>
  </si>
  <si>
    <t>TODAY</t>
  </si>
  <si>
    <t>Now</t>
  </si>
  <si>
    <t>Day</t>
  </si>
  <si>
    <t>MONTH</t>
  </si>
  <si>
    <t>YEAR</t>
  </si>
  <si>
    <t>WEEKDAY</t>
  </si>
  <si>
    <t>WEEKNUM</t>
  </si>
  <si>
    <t>ISOWEEKNUM</t>
  </si>
  <si>
    <t>HOUR</t>
  </si>
  <si>
    <t>MINUTE</t>
  </si>
  <si>
    <t>SECOND</t>
  </si>
  <si>
    <t>EDATE</t>
  </si>
  <si>
    <t>EOMONTH</t>
  </si>
  <si>
    <t>WORKDAY</t>
  </si>
  <si>
    <t>WORKDAY.INTL</t>
  </si>
  <si>
    <t>NETWORKDAYS</t>
  </si>
  <si>
    <t>NETWORKDAYS.INTL</t>
  </si>
  <si>
    <t>UPPER</t>
  </si>
  <si>
    <t>LOWER</t>
  </si>
  <si>
    <t>PROPER</t>
  </si>
  <si>
    <t>CONCATENATE</t>
  </si>
  <si>
    <t>CONCAT</t>
  </si>
  <si>
    <t>TEXTJOIN</t>
  </si>
  <si>
    <t>LEFT</t>
  </si>
  <si>
    <t>RIGHT</t>
  </si>
  <si>
    <t>MID</t>
  </si>
  <si>
    <t>TEXTBEFORE</t>
  </si>
  <si>
    <t>TEXTAFTER</t>
  </si>
  <si>
    <t>Number</t>
  </si>
  <si>
    <t>Text</t>
  </si>
  <si>
    <t>istext</t>
  </si>
  <si>
    <t>length</t>
  </si>
  <si>
    <t>TRIM</t>
  </si>
  <si>
    <t>Substitute</t>
  </si>
  <si>
    <t>find</t>
  </si>
  <si>
    <t>my name is mayank bhatt</t>
  </si>
  <si>
    <t>=</t>
  </si>
  <si>
    <t>time</t>
  </si>
  <si>
    <t>minute</t>
  </si>
  <si>
    <t>hour</t>
  </si>
  <si>
    <t>Emp_id</t>
  </si>
  <si>
    <t>name</t>
  </si>
  <si>
    <t>gender</t>
  </si>
  <si>
    <t>age</t>
  </si>
  <si>
    <t>deg</t>
  </si>
  <si>
    <t>contact</t>
  </si>
  <si>
    <t>Salary</t>
  </si>
  <si>
    <t>Mayank</t>
  </si>
  <si>
    <t>Male</t>
  </si>
  <si>
    <t>A- unique</t>
  </si>
  <si>
    <t>UNBRACKABLE CHAR</t>
  </si>
  <si>
    <t>          Hello</t>
  </si>
  <si>
    <t>Logical Formula</t>
  </si>
  <si>
    <t xml:space="preserve">if </t>
  </si>
  <si>
    <t>and</t>
  </si>
  <si>
    <t>or</t>
  </si>
  <si>
    <t>not</t>
  </si>
  <si>
    <t>ifs</t>
  </si>
  <si>
    <t xml:space="preserve">Statistical Formula </t>
  </si>
  <si>
    <t>Countif</t>
  </si>
  <si>
    <t>Countifs</t>
  </si>
  <si>
    <t xml:space="preserve">Sumif </t>
  </si>
  <si>
    <t>Sumifs</t>
  </si>
  <si>
    <t>Maxif</t>
  </si>
  <si>
    <t>Maxifs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</si>
</sst>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2" fillId="0" borderId="0" xfId="0" applyFont="1"/>
    <xf numFmtId="2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8" fontId="0" fillId="0" borderId="0" xfId="0" applyNumberFormat="1"/>
    <xf numFmtId="164" fontId="0" fillId="0" borderId="0" xfId="0" applyNumberFormat="1"/>
    <xf numFmtId="0" fontId="0" fillId="0" borderId="1" xfId="0" applyBorder="1"/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48D6-C4C7-46C1-A6C8-540190C533EB}">
  <dimension ref="A1:H48"/>
  <sheetViews>
    <sheetView tabSelected="1" topLeftCell="A19" zoomScale="64" workbookViewId="0">
      <selection activeCell="L34" sqref="L34"/>
    </sheetView>
  </sheetViews>
  <sheetFormatPr defaultRowHeight="14.5" x14ac:dyDescent="0.35"/>
  <cols>
    <col min="1" max="1" width="13.54296875" bestFit="1" customWidth="1"/>
    <col min="3" max="3" width="19" bestFit="1" customWidth="1"/>
    <col min="4" max="4" width="13.54296875" bestFit="1" customWidth="1"/>
    <col min="5" max="5" width="12.54296875" customWidth="1"/>
    <col min="6" max="6" width="19" bestFit="1" customWidth="1"/>
    <col min="7" max="7" width="17.26953125" bestFit="1" customWidth="1"/>
    <col min="8" max="8" width="22.453125" bestFit="1" customWidth="1"/>
  </cols>
  <sheetData>
    <row r="1" spans="2:7" ht="21" x14ac:dyDescent="0.5">
      <c r="C1" s="11" t="s">
        <v>54</v>
      </c>
      <c r="D1" s="13"/>
    </row>
    <row r="2" spans="2:7" x14ac:dyDescent="0.35">
      <c r="B2" t="s">
        <v>0</v>
      </c>
      <c r="C2" t="s">
        <v>2</v>
      </c>
      <c r="D2" t="s">
        <v>3</v>
      </c>
      <c r="F2" t="s">
        <v>2</v>
      </c>
      <c r="G2" t="s">
        <v>3</v>
      </c>
    </row>
    <row r="3" spans="2:7" x14ac:dyDescent="0.35">
      <c r="B3">
        <v>78</v>
      </c>
      <c r="C3" t="s">
        <v>1</v>
      </c>
      <c r="D3" s="4">
        <f>COUNT(B3:B18)</f>
        <v>16</v>
      </c>
      <c r="F3" s="2" t="s">
        <v>37</v>
      </c>
    </row>
    <row r="4" spans="2:7" x14ac:dyDescent="0.35">
      <c r="B4">
        <v>41</v>
      </c>
      <c r="C4" t="s">
        <v>4</v>
      </c>
      <c r="D4" s="4">
        <f>SUM(B3:B18)</f>
        <v>796</v>
      </c>
      <c r="F4" s="2" t="s">
        <v>38</v>
      </c>
    </row>
    <row r="5" spans="2:7" x14ac:dyDescent="0.35">
      <c r="B5">
        <v>43</v>
      </c>
      <c r="C5" t="s">
        <v>5</v>
      </c>
      <c r="D5" s="5">
        <f>PRODUCT(B3:B4)</f>
        <v>3198</v>
      </c>
      <c r="F5" s="2" t="s">
        <v>39</v>
      </c>
    </row>
    <row r="6" spans="2:7" x14ac:dyDescent="0.35">
      <c r="B6">
        <v>57</v>
      </c>
      <c r="C6" t="s">
        <v>6</v>
      </c>
      <c r="D6" s="4">
        <f>MIN(B3:B18)</f>
        <v>25</v>
      </c>
      <c r="F6" s="2" t="s">
        <v>40</v>
      </c>
    </row>
    <row r="7" spans="2:7" x14ac:dyDescent="0.35">
      <c r="B7">
        <v>41</v>
      </c>
      <c r="C7" t="s">
        <v>7</v>
      </c>
      <c r="D7" s="4">
        <f>MAX(B3:B18)</f>
        <v>78</v>
      </c>
      <c r="F7" s="2" t="s">
        <v>41</v>
      </c>
      <c r="G7">
        <f>NETWORKDAYS("01-Sep-2025","30-Sep-2025")</f>
        <v>22</v>
      </c>
    </row>
    <row r="8" spans="2:7" x14ac:dyDescent="0.35">
      <c r="B8">
        <v>75</v>
      </c>
      <c r="C8" t="s">
        <v>8</v>
      </c>
      <c r="D8" s="4">
        <f>AVERAGE(B3:B18)</f>
        <v>49.75</v>
      </c>
      <c r="F8" s="2" t="s">
        <v>42</v>
      </c>
    </row>
    <row r="9" spans="2:7" ht="20" x14ac:dyDescent="0.4">
      <c r="B9">
        <v>25</v>
      </c>
      <c r="C9" t="s">
        <v>9</v>
      </c>
      <c r="D9" s="4">
        <f>MEDIAN(B3:B18)</f>
        <v>46.5</v>
      </c>
      <c r="F9" s="14" t="s">
        <v>55</v>
      </c>
      <c r="G9" s="15"/>
    </row>
    <row r="10" spans="2:7" x14ac:dyDescent="0.35">
      <c r="B10">
        <v>53</v>
      </c>
      <c r="C10" t="s">
        <v>10</v>
      </c>
      <c r="D10" s="4">
        <f>MODE(B3:B18)</f>
        <v>41</v>
      </c>
      <c r="F10" s="2" t="s">
        <v>43</v>
      </c>
      <c r="G10" t="str">
        <f>UPPER("excel")</f>
        <v>EXCEL</v>
      </c>
    </row>
    <row r="11" spans="2:7" x14ac:dyDescent="0.35">
      <c r="B11">
        <v>71</v>
      </c>
      <c r="C11" t="s">
        <v>11</v>
      </c>
      <c r="D11" s="4">
        <f>POWER(B11,3)</f>
        <v>357911</v>
      </c>
      <c r="F11" s="2" t="s">
        <v>44</v>
      </c>
      <c r="G11" t="str">
        <f>LOWER("EXCEL")</f>
        <v>excel</v>
      </c>
    </row>
    <row r="12" spans="2:7" x14ac:dyDescent="0.35">
      <c r="B12">
        <v>35</v>
      </c>
      <c r="C12" t="s">
        <v>13</v>
      </c>
      <c r="D12" s="4">
        <f>SQRT(36)</f>
        <v>6</v>
      </c>
      <c r="F12" s="2" t="s">
        <v>45</v>
      </c>
      <c r="G12" s="2" t="str">
        <f>PROPER("excel functions")</f>
        <v>Excel Functions</v>
      </c>
    </row>
    <row r="13" spans="2:7" x14ac:dyDescent="0.35">
      <c r="B13">
        <v>51</v>
      </c>
      <c r="C13" t="s">
        <v>12</v>
      </c>
      <c r="D13" s="4">
        <f>ROUND(2.3453,2)</f>
        <v>2.35</v>
      </c>
      <c r="F13" s="2" t="s">
        <v>46</v>
      </c>
      <c r="G13" t="str">
        <f>CONCATENATE("Hello"," ","World")</f>
        <v>Hello World</v>
      </c>
    </row>
    <row r="14" spans="2:7" x14ac:dyDescent="0.35">
      <c r="B14">
        <v>73</v>
      </c>
      <c r="C14" t="s">
        <v>14</v>
      </c>
      <c r="D14" s="4">
        <v>51</v>
      </c>
      <c r="F14" s="2" t="s">
        <v>47</v>
      </c>
      <c r="G14" s="2" t="str">
        <f>_xlfn.CONCAT("Hello"," ","World")</f>
        <v>Hello World</v>
      </c>
    </row>
    <row r="15" spans="2:7" x14ac:dyDescent="0.35">
      <c r="B15">
        <v>39</v>
      </c>
      <c r="C15" t="s">
        <v>15</v>
      </c>
      <c r="D15" s="4">
        <f>_xlfn.VAR.P(B3:B18)</f>
        <v>269.8125</v>
      </c>
      <c r="F15" s="2" t="s">
        <v>48</v>
      </c>
      <c r="G15" s="2" t="str">
        <f>_xlfn.TEXTJOIN("-",TRUE,F14,F15)</f>
        <v>CONCAT-TEXTJOIN</v>
      </c>
    </row>
    <row r="16" spans="2:7" x14ac:dyDescent="0.35">
      <c r="B16">
        <v>50</v>
      </c>
      <c r="C16" t="s">
        <v>16</v>
      </c>
      <c r="D16" s="4">
        <f>STDEV(B3:B18)</f>
        <v>16.964669168598604</v>
      </c>
      <c r="F16" s="2" t="s">
        <v>49</v>
      </c>
      <c r="G16" s="2" t="str">
        <f>LEFT("Excel", 2)</f>
        <v>Ex</v>
      </c>
    </row>
    <row r="17" spans="1:8" x14ac:dyDescent="0.35">
      <c r="B17">
        <v>37</v>
      </c>
      <c r="C17" t="s">
        <v>17</v>
      </c>
      <c r="D17" s="4" t="b">
        <f>ISNUMBER(B17)</f>
        <v>1</v>
      </c>
      <c r="F17" s="2" t="s">
        <v>50</v>
      </c>
      <c r="G17" s="2" t="str">
        <f>RIGHT("Excel", 3)</f>
        <v>cel</v>
      </c>
    </row>
    <row r="18" spans="1:8" x14ac:dyDescent="0.35">
      <c r="B18">
        <v>27</v>
      </c>
      <c r="C18" t="s">
        <v>18</v>
      </c>
      <c r="D18" s="4" t="b">
        <f>ISEVEN(B18)</f>
        <v>0</v>
      </c>
      <c r="F18" s="2" t="s">
        <v>51</v>
      </c>
      <c r="G18" s="2" t="str">
        <f>MID("Excel", 2, 3)</f>
        <v>xce</v>
      </c>
    </row>
    <row r="19" spans="1:8" x14ac:dyDescent="0.35">
      <c r="C19" t="s">
        <v>19</v>
      </c>
      <c r="D19" s="4" t="b">
        <f>ISODD(B18)</f>
        <v>1</v>
      </c>
      <c r="F19" s="2" t="s">
        <v>52</v>
      </c>
      <c r="G19" t="s">
        <v>62</v>
      </c>
    </row>
    <row r="20" spans="1:8" x14ac:dyDescent="0.35">
      <c r="C20" t="s">
        <v>20</v>
      </c>
      <c r="D20" s="4" t="b">
        <f>ISBLANK(B19)</f>
        <v>1</v>
      </c>
      <c r="F20" s="2" t="s">
        <v>53</v>
      </c>
    </row>
    <row r="21" spans="1:8" x14ac:dyDescent="0.35">
      <c r="C21" t="s">
        <v>21</v>
      </c>
      <c r="D21" s="4">
        <f>EXP(2)</f>
        <v>7.3890560989306504</v>
      </c>
      <c r="F21" s="2" t="s">
        <v>56</v>
      </c>
      <c r="G21" t="b">
        <f>ISTEXT(F21)</f>
        <v>1</v>
      </c>
    </row>
    <row r="22" spans="1:8" x14ac:dyDescent="0.35">
      <c r="C22" t="s">
        <v>22</v>
      </c>
      <c r="D22" s="4">
        <f>LN(4)</f>
        <v>1.3862943611198906</v>
      </c>
      <c r="F22" s="2" t="s">
        <v>57</v>
      </c>
      <c r="G22">
        <f>LEN(F22)</f>
        <v>6</v>
      </c>
    </row>
    <row r="23" spans="1:8" x14ac:dyDescent="0.35">
      <c r="C23" t="s">
        <v>23</v>
      </c>
      <c r="D23" s="4">
        <f>LOG(10,10)</f>
        <v>1</v>
      </c>
      <c r="F23" s="2" t="s">
        <v>58</v>
      </c>
      <c r="G23" t="str">
        <f>TRIM(F23)</f>
        <v>TRIM</v>
      </c>
      <c r="H23">
        <f>LEN(G23)</f>
        <v>4</v>
      </c>
    </row>
    <row r="24" spans="1:8" ht="21" x14ac:dyDescent="0.5">
      <c r="C24" s="11" t="s">
        <v>24</v>
      </c>
      <c r="D24" s="12"/>
      <c r="F24" s="2" t="s">
        <v>59</v>
      </c>
      <c r="G24" t="str">
        <f>SUBSTITUTE(H27,"bhatt","")</f>
        <v xml:space="preserve">my name is mayank </v>
      </c>
    </row>
    <row r="25" spans="1:8" x14ac:dyDescent="0.35">
      <c r="C25" t="s">
        <v>24</v>
      </c>
      <c r="D25" s="6">
        <f>DATE(2005,11,22)</f>
        <v>38678</v>
      </c>
      <c r="F25" s="2" t="s">
        <v>60</v>
      </c>
      <c r="G25">
        <f>FIND("mayank",H27)</f>
        <v>12</v>
      </c>
    </row>
    <row r="26" spans="1:8" x14ac:dyDescent="0.35">
      <c r="A26" s="1">
        <v>38678</v>
      </c>
      <c r="C26" s="2" t="s">
        <v>25</v>
      </c>
      <c r="D26" s="1">
        <f>DATEVALUE("26-Sep-2025")</f>
        <v>45926</v>
      </c>
      <c r="E26" s="2"/>
    </row>
    <row r="27" spans="1:8" x14ac:dyDescent="0.35">
      <c r="C27" s="2" t="s">
        <v>26</v>
      </c>
      <c r="D27" s="1">
        <f ca="1">TODAY()</f>
        <v>46043</v>
      </c>
      <c r="F27" s="13" t="s">
        <v>76</v>
      </c>
      <c r="G27" s="13"/>
      <c r="H27" t="s">
        <v>61</v>
      </c>
    </row>
    <row r="28" spans="1:8" x14ac:dyDescent="0.35">
      <c r="C28" t="s">
        <v>27</v>
      </c>
      <c r="D28" s="3">
        <v>46026.659381481484</v>
      </c>
      <c r="F28" t="str">
        <f>REPT(CHAR(160),10) &amp; "Hello"</f>
        <v>          Hello</v>
      </c>
      <c r="G28">
        <f>LEN(F28)</f>
        <v>15</v>
      </c>
    </row>
    <row r="29" spans="1:8" x14ac:dyDescent="0.35">
      <c r="C29" t="s">
        <v>28</v>
      </c>
      <c r="D29">
        <f>DAY(A26)</f>
        <v>22</v>
      </c>
      <c r="F29" t="s">
        <v>77</v>
      </c>
      <c r="G29">
        <f t="shared" ref="G29:H31" si="0">LEN(F29)</f>
        <v>15</v>
      </c>
    </row>
    <row r="30" spans="1:8" x14ac:dyDescent="0.35">
      <c r="C30" s="2" t="s">
        <v>29</v>
      </c>
      <c r="D30">
        <f>MONTH(A26)</f>
        <v>11</v>
      </c>
    </row>
    <row r="31" spans="1:8" x14ac:dyDescent="0.35">
      <c r="C31" s="2" t="s">
        <v>30</v>
      </c>
      <c r="D31">
        <f>YEAR(A26)</f>
        <v>2005</v>
      </c>
      <c r="F31" t="s">
        <v>59</v>
      </c>
      <c r="G31" t="str">
        <f>SUBSTITUTE(F28,CHAR(160),"")</f>
        <v>Hello</v>
      </c>
      <c r="H31">
        <f t="shared" si="0"/>
        <v>5</v>
      </c>
    </row>
    <row r="32" spans="1:8" x14ac:dyDescent="0.35">
      <c r="C32" s="2" t="s">
        <v>31</v>
      </c>
      <c r="D32">
        <f>WEEKDAY(A26,2)</f>
        <v>2</v>
      </c>
    </row>
    <row r="33" spans="1:7" x14ac:dyDescent="0.35">
      <c r="C33" s="2" t="s">
        <v>32</v>
      </c>
      <c r="D33">
        <f>WEEKNUM(A26)</f>
        <v>48</v>
      </c>
    </row>
    <row r="34" spans="1:7" x14ac:dyDescent="0.35">
      <c r="C34" s="2" t="s">
        <v>33</v>
      </c>
    </row>
    <row r="35" spans="1:7" x14ac:dyDescent="0.35">
      <c r="C35" s="2" t="s">
        <v>34</v>
      </c>
      <c r="D35">
        <v>16</v>
      </c>
      <c r="F35" s="10" t="s">
        <v>78</v>
      </c>
      <c r="G35" s="10"/>
    </row>
    <row r="36" spans="1:7" x14ac:dyDescent="0.35">
      <c r="C36" s="2" t="s">
        <v>35</v>
      </c>
      <c r="D36">
        <v>0</v>
      </c>
      <c r="F36" s="9" t="s">
        <v>79</v>
      </c>
      <c r="G36" s="9"/>
    </row>
    <row r="37" spans="1:7" x14ac:dyDescent="0.35">
      <c r="C37" s="2" t="s">
        <v>36</v>
      </c>
      <c r="D37">
        <v>29</v>
      </c>
      <c r="F37" s="9" t="s">
        <v>80</v>
      </c>
      <c r="G37" s="9"/>
    </row>
    <row r="38" spans="1:7" x14ac:dyDescent="0.35">
      <c r="A38" s="8">
        <v>46026.659381481484</v>
      </c>
      <c r="C38" s="2" t="s">
        <v>63</v>
      </c>
      <c r="D38" s="7">
        <f>TIME(12,22,23)</f>
        <v>0.51554398148148151</v>
      </c>
      <c r="F38" s="9" t="s">
        <v>81</v>
      </c>
      <c r="G38" s="9"/>
    </row>
    <row r="39" spans="1:7" x14ac:dyDescent="0.35">
      <c r="C39" s="2" t="s">
        <v>64</v>
      </c>
      <c r="D39">
        <f>MINUTE(A38)</f>
        <v>49</v>
      </c>
      <c r="F39" s="9" t="s">
        <v>82</v>
      </c>
      <c r="G39" s="9"/>
    </row>
    <row r="40" spans="1:7" x14ac:dyDescent="0.35">
      <c r="C40" s="2" t="s">
        <v>65</v>
      </c>
      <c r="D40">
        <f>HOUR(A38)</f>
        <v>15</v>
      </c>
      <c r="F40" s="9" t="s">
        <v>83</v>
      </c>
      <c r="G40" s="9"/>
    </row>
    <row r="41" spans="1:7" x14ac:dyDescent="0.35">
      <c r="C41" s="2" t="s">
        <v>36</v>
      </c>
      <c r="D41">
        <f>SECOND(A38)</f>
        <v>31</v>
      </c>
    </row>
    <row r="42" spans="1:7" x14ac:dyDescent="0.35">
      <c r="F42" s="10" t="s">
        <v>84</v>
      </c>
      <c r="G42" s="10"/>
    </row>
    <row r="43" spans="1:7" x14ac:dyDescent="0.35">
      <c r="F43" s="9" t="s">
        <v>85</v>
      </c>
      <c r="G43" s="9"/>
    </row>
    <row r="44" spans="1:7" x14ac:dyDescent="0.35">
      <c r="C44" s="2"/>
      <c r="F44" s="9" t="s">
        <v>86</v>
      </c>
      <c r="G44" s="9"/>
    </row>
    <row r="45" spans="1:7" x14ac:dyDescent="0.35">
      <c r="F45" s="9" t="s">
        <v>87</v>
      </c>
      <c r="G45" s="9"/>
    </row>
    <row r="46" spans="1:7" x14ac:dyDescent="0.35">
      <c r="F46" s="9" t="s">
        <v>88</v>
      </c>
      <c r="G46" s="9"/>
    </row>
    <row r="47" spans="1:7" x14ac:dyDescent="0.35">
      <c r="F47" s="9" t="s">
        <v>89</v>
      </c>
      <c r="G47" s="9"/>
    </row>
    <row r="48" spans="1:7" x14ac:dyDescent="0.35">
      <c r="F48" s="9" t="s">
        <v>90</v>
      </c>
      <c r="G48" s="9"/>
    </row>
  </sheetData>
  <mergeCells count="6">
    <mergeCell ref="F42:G42"/>
    <mergeCell ref="C24:D24"/>
    <mergeCell ref="C1:D1"/>
    <mergeCell ref="F9:G9"/>
    <mergeCell ref="F27:G27"/>
    <mergeCell ref="F35:G35"/>
  </mergeCells>
  <phoneticPr fontId="1" type="noConversion"/>
  <pageMargins left="0.7" right="0.7" top="0.75" bottom="0.75" header="0.3" footer="0.3"/>
  <ignoredErrors>
    <ignoredError sqref="D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9551-56BE-4BD7-868E-F35A5EE0980F}">
  <dimension ref="A1:I4"/>
  <sheetViews>
    <sheetView zoomScale="121" workbookViewId="0">
      <selection activeCell="F7" sqref="F7"/>
    </sheetView>
  </sheetViews>
  <sheetFormatPr defaultRowHeight="14.5" x14ac:dyDescent="0.35"/>
  <cols>
    <col min="1" max="2" width="10.7265625" bestFit="1" customWidth="1"/>
    <col min="6" max="6" width="11.36328125" bestFit="1" customWidth="1"/>
  </cols>
  <sheetData>
    <row r="1" spans="1:9" x14ac:dyDescent="0.3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75</v>
      </c>
    </row>
    <row r="2" spans="1:9" x14ac:dyDescent="0.35">
      <c r="A2">
        <v>101</v>
      </c>
      <c r="B2" t="s">
        <v>73</v>
      </c>
      <c r="C2" t="s">
        <v>74</v>
      </c>
      <c r="F2">
        <v>9654212533</v>
      </c>
      <c r="H2">
        <v>1</v>
      </c>
    </row>
    <row r="3" spans="1:9" x14ac:dyDescent="0.35">
      <c r="H3">
        <v>2</v>
      </c>
      <c r="I3" t="b">
        <f>AND(ISNUMBER(F1),LEN(F1)=10,F1&gt;6000000000,COUNTIF(F:F,F1)=1)</f>
        <v>0</v>
      </c>
    </row>
    <row r="4" spans="1:9" x14ac:dyDescent="0.35">
      <c r="H4">
        <v>3</v>
      </c>
    </row>
  </sheetData>
  <dataValidations count="5">
    <dataValidation type="custom" allowBlank="1" showInputMessage="1" showErrorMessage="1" errorTitle="Hello user....." error="Correct the error" sqref="A1:A1048576" xr:uid="{6E5D2FFE-468F-4AB3-A967-7C244A0B9D88}">
      <formula1>ISNUMBER(A1)=TRUE</formula1>
    </dataValidation>
    <dataValidation type="custom" allowBlank="1" showInputMessage="1" showErrorMessage="1" sqref="B1:B1048576" xr:uid="{2334CC94-AC90-46BB-80E4-E7E56460D081}">
      <formula1>ISTEXT(B1)=TRUE</formula1>
    </dataValidation>
    <dataValidation type="custom" allowBlank="1" showInputMessage="1" showErrorMessage="1" sqref="C1:C1048576" xr:uid="{2084EFA1-C7F2-4AC2-AC64-5A8BB0676130}">
      <formula1>OR(C1="Male",C1="Female")</formula1>
    </dataValidation>
    <dataValidation type="custom" allowBlank="1" showInputMessage="1" showErrorMessage="1" sqref="F1:F1048576" xr:uid="{8BFDC1DB-FD6A-4543-8CA4-D255D73E1876}">
      <formula1>AND(ISNUMBER(F1),LEN(F1)=10,F1&gt;6000000000,COUNTIF(F:F,F1)=1)</formula1>
    </dataValidation>
    <dataValidation type="custom" allowBlank="1" showInputMessage="1" showErrorMessage="1" sqref="H1:H1048576" xr:uid="{0C510628-DD6A-4C9B-9430-4A9C98676BA2}">
      <formula1>COUNTIF(H:H,H1)=1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bhatt</dc:creator>
  <cp:lastModifiedBy>mayank bhatt</cp:lastModifiedBy>
  <dcterms:created xsi:type="dcterms:W3CDTF">2025-12-23T10:50:03Z</dcterms:created>
  <dcterms:modified xsi:type="dcterms:W3CDTF">2026-01-21T11:32:24Z</dcterms:modified>
</cp:coreProperties>
</file>