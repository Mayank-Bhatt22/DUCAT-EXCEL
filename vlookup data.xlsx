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4fc930b2cb47e9/Desktop/Excel/"/>
    </mc:Choice>
  </mc:AlternateContent>
  <xr:revisionPtr revIDLastSave="161" documentId="8_{D10E745A-B4DC-45D8-BC23-52D167A7CAC5}" xr6:coauthVersionLast="47" xr6:coauthVersionMax="47" xr10:uidLastSave="{2FF84449-3DD8-4AEE-8DF7-766213364EDB}"/>
  <bookViews>
    <workbookView xWindow="-110" yWindow="-110" windowWidth="19420" windowHeight="10300" xr2:uid="{0131B8EF-756B-4B48-BA1A-151F17A4C7EA}"/>
  </bookViews>
  <sheets>
    <sheet name="Sheet3" sheetId="3" r:id="rId1"/>
    <sheet name="Sheet1" sheetId="1" r:id="rId2"/>
    <sheet name="Sheet2" sheetId="2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2" l="1"/>
  <c r="B14" i="2"/>
  <c r="J21" i="1"/>
  <c r="J22" i="1"/>
  <c r="J23" i="1"/>
  <c r="J24" i="1"/>
  <c r="J20" i="1"/>
  <c r="J13" i="1"/>
  <c r="J14" i="1"/>
  <c r="J15" i="1"/>
  <c r="J16" i="1"/>
  <c r="J12" i="1"/>
  <c r="J4" i="1"/>
  <c r="J5" i="1"/>
  <c r="J6" i="1"/>
  <c r="J7" i="1"/>
  <c r="J8" i="1"/>
</calcChain>
</file>

<file path=xl/sharedStrings.xml><?xml version="1.0" encoding="utf-8"?>
<sst xmlns="http://schemas.openxmlformats.org/spreadsheetml/2006/main" count="245" uniqueCount="140">
  <si>
    <t>E_id</t>
  </si>
  <si>
    <t>Name</t>
  </si>
  <si>
    <t>Department</t>
  </si>
  <si>
    <t>Working (years)</t>
  </si>
  <si>
    <t>Total Sales</t>
  </si>
  <si>
    <t>Salary</t>
  </si>
  <si>
    <t>EMP001</t>
  </si>
  <si>
    <t>Employee_1</t>
  </si>
  <si>
    <t>Finance</t>
  </si>
  <si>
    <t>EMP002</t>
  </si>
  <si>
    <t>Employee_2</t>
  </si>
  <si>
    <t>Operations</t>
  </si>
  <si>
    <t>EMP003</t>
  </si>
  <si>
    <t>Employee_3</t>
  </si>
  <si>
    <t>Sales</t>
  </si>
  <si>
    <t>EMP004</t>
  </si>
  <si>
    <t>Employee_4</t>
  </si>
  <si>
    <t>EMP005</t>
  </si>
  <si>
    <t>Employee_5</t>
  </si>
  <si>
    <t>EMP006</t>
  </si>
  <si>
    <t>EMP007</t>
  </si>
  <si>
    <t>Employee_7</t>
  </si>
  <si>
    <t>EMP008</t>
  </si>
  <si>
    <t>Employee_8</t>
  </si>
  <si>
    <t>EMP009</t>
  </si>
  <si>
    <t>Employee_9</t>
  </si>
  <si>
    <t>EMP010</t>
  </si>
  <si>
    <t>Employee_10</t>
  </si>
  <si>
    <t>EMP011</t>
  </si>
  <si>
    <t>Employee_11</t>
  </si>
  <si>
    <t>EMP012</t>
  </si>
  <si>
    <t>Employee_12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</si>
  <si>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</si>
  <si>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</si>
  <si>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</si>
  <si>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</si>
  <si>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</si>
  <si>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</si>
  <si>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</si>
  <si>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</si>
  <si>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</si>
  <si>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</si>
  <si>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</si>
  <si>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</si>
  <si>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</si>
  <si>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</si>
  <si>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</si>
  <si>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</si>
  <si>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</si>
  <si>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</si>
  <si>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</si>
  <si>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</si>
  <si>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</si>
  <si>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</si>
  <si>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</si>
  <si>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</si>
  <si>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</si>
  <si>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</si>
  <si>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</si>
  <si>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Class/Subjects</t>
  </si>
  <si>
    <t>8:00 AM - 8:45 AM</t>
  </si>
  <si>
    <t>8:45 AM - 9:30 AM</t>
  </si>
  <si>
    <t>9:30 AM - 10:15 AM</t>
  </si>
  <si>
    <t>10:15 AM - 11:00 AM</t>
  </si>
  <si>
    <t>11:00 AM - 11:15 AM (Break)</t>
  </si>
  <si>
    <t>11:15 AM - 12:00 PM</t>
  </si>
  <si>
    <t>12:00 PM - 12:45 PM</t>
  </si>
  <si>
    <t>12:45 PM - 1:30 PM</t>
  </si>
  <si>
    <t>1:30 PM - 2:15 PM</t>
  </si>
  <si>
    <t>Mathematics</t>
  </si>
  <si>
    <t>Mathematics (Ms. Johnson)</t>
  </si>
  <si>
    <t>Mathematics (Mr. Smith)</t>
  </si>
  <si>
    <t>Mathematics (Mrs. Lee)</t>
  </si>
  <si>
    <t>Mathematics (Mr. Brown)</t>
  </si>
  <si>
    <t>Break</t>
  </si>
  <si>
    <t>Mathematics (Mr. Wilson)</t>
  </si>
  <si>
    <t>Mathematics (Ms. Taylor)</t>
  </si>
  <si>
    <t>Mathematics (Mr. White)</t>
  </si>
  <si>
    <t>Science</t>
  </si>
  <si>
    <t>Science (Mr. Smith)</t>
  </si>
  <si>
    <t>Science (Mrs. Lee)</t>
  </si>
  <si>
    <t>Science (Mr. Brown)</t>
  </si>
  <si>
    <t>Science (Ms. Davis)</t>
  </si>
  <si>
    <t>Science (Ms. Taylor)</t>
  </si>
  <si>
    <t>Science (Mr. White)</t>
  </si>
  <si>
    <t>Science (Ms. Johnson)</t>
  </si>
  <si>
    <t>English</t>
  </si>
  <si>
    <t>English (Mrs. Lee)</t>
  </si>
  <si>
    <t>English (Mr. Brown)</t>
  </si>
  <si>
    <t>English (Ms. Davis)</t>
  </si>
  <si>
    <t>English (Mr. Wilson)</t>
  </si>
  <si>
    <t>English (Mr. White)</t>
  </si>
  <si>
    <t>English (Ms. Johnson)</t>
  </si>
  <si>
    <t>English (Mr. Smith)</t>
  </si>
  <si>
    <t>History</t>
  </si>
  <si>
    <t>History (Mr. Brown)</t>
  </si>
  <si>
    <t>History (Ms. Davis)</t>
  </si>
  <si>
    <t>History (Mr. Wilson)</t>
  </si>
  <si>
    <t>History (Ms. Taylor)</t>
  </si>
  <si>
    <t>History (Ms. Johnson)</t>
  </si>
  <si>
    <t>History (Mr. Smith)</t>
  </si>
  <si>
    <t>History (Mrs. Lee)</t>
  </si>
  <si>
    <t>Geography</t>
  </si>
  <si>
    <t>Geography (Ms. Davis)</t>
  </si>
  <si>
    <t>Geography (Mr. Wilson)</t>
  </si>
  <si>
    <t>Geography (Ms. Taylor)</t>
  </si>
  <si>
    <t>Geography (Mr. White)</t>
  </si>
  <si>
    <t>Geography (Mr. Smith)</t>
  </si>
  <si>
    <t>Geography (Mrs. Lee)</t>
  </si>
  <si>
    <t>Geography (Mr. Brown)</t>
  </si>
  <si>
    <t>Physical Education</t>
  </si>
  <si>
    <t>Physical Education (Mr. Wilson)</t>
  </si>
  <si>
    <t>Physical Education (Ms. Taylor)</t>
  </si>
  <si>
    <t>Physical Education (Mr. White)</t>
  </si>
  <si>
    <t>Physical Education (Ms. Johnson)</t>
  </si>
  <si>
    <t>Physical Education (Mrs. Lee)</t>
  </si>
  <si>
    <t>Physical Education (Mr. Brown)</t>
  </si>
  <si>
    <t>Physical Education (Ms. Davis)</t>
  </si>
  <si>
    <t>Art</t>
  </si>
  <si>
    <t>Art (Ms. Taylor)</t>
  </si>
  <si>
    <t>Art (Mr. White)</t>
  </si>
  <si>
    <t>Art (Ms. Johnson)</t>
  </si>
  <si>
    <t>Art (Mr. Smith)</t>
  </si>
  <si>
    <t>Art (Mr. Brown)</t>
  </si>
  <si>
    <t>Art (Ms. Davis)</t>
  </si>
  <si>
    <t>Art (Mr. Wilson)</t>
  </si>
  <si>
    <t>Computer Science</t>
  </si>
  <si>
    <t>Computer Science (Mr. White)</t>
  </si>
  <si>
    <t>Computer Science (Ms. Johnson)</t>
  </si>
  <si>
    <t>Computer Science (Mr. Smith)</t>
  </si>
  <si>
    <t>Computer Science (Mrs. Lee)</t>
  </si>
  <si>
    <t>Computer Science (Ms. Davis)</t>
  </si>
  <si>
    <t>Computer Science (Mr. Wilson)</t>
  </si>
  <si>
    <t>Computer Science (Ms. Taylor)</t>
  </si>
  <si>
    <t>Subjects</t>
  </si>
  <si>
    <t>Timeing</t>
  </si>
  <si>
    <t>Index</t>
  </si>
  <si>
    <t>Row Labels</t>
  </si>
  <si>
    <t>Grand Total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</si>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</sst>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right" wrapText="1"/>
    </xf>
    <xf numFmtId="164" fontId="0" fillId="0" borderId="5" xfId="0" applyNumberFormat="1" applyBorder="1" applyAlignment="1">
      <alignment horizontal="right" wrapText="1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/>
    <xf numFmtId="16" fontId="0" fillId="0" borderId="0" xfId="0" applyNumberFormat="1"/>
    <xf numFmtId="0" fontId="3" fillId="5" borderId="1" xfId="0" applyFont="1" applyFill="1" applyBorder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[vlookup data.xlsx]Sheet3!PivotTable1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Sheet3!$A$4:$A$7</c:f>
              <c:strCache>
                <c:ptCount val="3"/>
                <c:pt idx="0">
                  <c:v>Finance</c:v>
                </c:pt>
                <c:pt idx="1">
                  <c:v>Operations</c:v>
                </c:pt>
                <c:pt idx="2">
                  <c:v>Sales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341154</c:v>
                </c:pt>
                <c:pt idx="1">
                  <c:v>846696</c:v>
                </c:pt>
                <c:pt idx="2">
                  <c:v>664468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8-4A33-999C-EEB359AB1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74880431"/>
        <c:axId val="1974880911"/>
        <c:axId val="0"/>
      </c:bar3DChart>
      <c:catAx>
        <c:axId val="197488043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880911"/>
        <c:crosses val="autoZero"/>
        <c:auto val="1"/>
        <c:lblAlgn val="ctr"/>
        <c:lblOffset val="100"/>
        <c:noMultiLvlLbl val="0"/>
      </c:catAx>
      <c:valAx>
        <c:axId val="197488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8804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774700</xdr:colOff>
      <xdr:row>1</xdr:row>
      <xdr:rowOff>38100</xdr:rowOff>
    </xdr:from>
    <xdr:to>
      <xdr:col>10</xdr:col>
      <xdr:colOff>171450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D0E50-D092-1C1E-1535-A1535DB1D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5.709713425924" createdVersion="8" refreshedVersion="8" minRefreshableVersion="3" recordCount="39" xr:uid="{4C2A684A-932F-4C92-BFF9-E4D234C38450}">
  <cacheSource type="worksheet">
    <worksheetSource ref="A1:F40" sheet="Sheet1"/>
  </cacheSource>
  <cacheFields count="6">
    <cacheField name="E_id" numFmtId="0">
      <sharedItems count="39">
        <s v="EMP001"/>
        <s v="EMP002"/>
        <s v="EMP003"/>
        <s v="EMP004"/>
        <s v="EMP005"/>
        <s v="EMP006"/>
        <s v="EMP007"/>
        <s v="EMP008"/>
        <s v="EMP009"/>
        <s v="EMP010"/>
        <s v="EMP011"/>
        <s v="EMP012"/>
        <s v="EMP013"/>
        <s v="EMP014"/>
        <s v="EMP015"/>
        <s v="EMP016"/>
        <s v="EMP017"/>
        <s v="EMP018"/>
        <s v="EMP019"/>
        <s v="EMP020"/>
        <s v="EMP021"/>
        <s v="EMP022"/>
        <s v="EMP023"/>
        <s v="EMP024"/>
        <s v="EMP025"/>
        <s v="EMP026"/>
        <s v="EMP027"/>
        <s v="EMP028"/>
        <s v="EMP029"/>
        <s v="EMP030"/>
        <s v="EMP031"/>
        <s v="EMP032"/>
        <s v="EMP033"/>
        <s v="EMP034"/>
        <s v="EMP035"/>
        <s v="EMP036"/>
        <s v="EMP037"/>
        <s v="EMP038"/>
        <s v="EMP039"/>
      </sharedItems>
    </cacheField>
    <cacheField name="Name" numFmtId="0">
      <sharedItems count="11">
        <s v="Employee_1"/>
        <s v="Employee_2"/>
        <s v="Employee_3"/>
        <s v="Employee_4"/>
        <s v="Employee_5"/>
        <s v="Employee_7"/>
        <s v="Employee_8"/>
        <s v="Employee_9"/>
        <s v="Employee_10"/>
        <s v="Employee_11"/>
        <s v="Employee_12"/>
      </sharedItems>
    </cacheField>
    <cacheField name="Department" numFmtId="0">
      <sharedItems count="3">
        <s v="Finance"/>
        <s v="Operations"/>
        <s v="Sales"/>
      </sharedItems>
    </cacheField>
    <cacheField name="Working (years)" numFmtId="0">
      <sharedItems containsSemiMixedTypes="0" containsString="0" containsNumber="1" containsInteger="1" minValue="2" maxValue="7"/>
    </cacheField>
    <cacheField name="Total Sales" numFmtId="0">
      <sharedItems containsSemiMixedTypes="0" containsString="0" containsNumber="1" containsInteger="1" minValue="6444" maxValue="97506"/>
    </cacheField>
    <cacheField name="Salary" numFmtId="164">
      <sharedItems containsSemiMixedTypes="0" containsString="0" containsNumber="1" minValue="30924" maxValue="963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x v="0"/>
    <x v="0"/>
    <n v="5"/>
    <n v="67952"/>
    <n v="41954"/>
  </r>
  <r>
    <x v="1"/>
    <x v="1"/>
    <x v="1"/>
    <n v="4"/>
    <n v="72227"/>
    <n v="49855"/>
  </r>
  <r>
    <x v="2"/>
    <x v="2"/>
    <x v="2"/>
    <n v="3"/>
    <n v="20646"/>
    <n v="94210"/>
  </r>
  <r>
    <x v="3"/>
    <x v="3"/>
    <x v="0"/>
    <n v="5"/>
    <n v="35388"/>
    <n v="74689"/>
  </r>
  <r>
    <x v="4"/>
    <x v="4"/>
    <x v="1"/>
    <n v="6"/>
    <n v="29248"/>
    <n v="90652"/>
  </r>
  <r>
    <x v="5"/>
    <x v="2"/>
    <x v="1"/>
    <n v="2"/>
    <n v="90338"/>
    <n v="74820"/>
  </r>
  <r>
    <x v="6"/>
    <x v="5"/>
    <x v="2"/>
    <n v="3"/>
    <n v="91732"/>
    <n v="85206"/>
  </r>
  <r>
    <x v="7"/>
    <x v="6"/>
    <x v="0"/>
    <n v="5"/>
    <n v="7406"/>
    <n v="30924"/>
  </r>
  <r>
    <x v="8"/>
    <x v="7"/>
    <x v="1"/>
    <n v="6"/>
    <n v="30756"/>
    <n v="57737"/>
  </r>
  <r>
    <x v="9"/>
    <x v="8"/>
    <x v="2"/>
    <n v="2"/>
    <n v="80778"/>
    <n v="36000"/>
  </r>
  <r>
    <x v="10"/>
    <x v="9"/>
    <x v="2"/>
    <n v="7"/>
    <n v="76137"/>
    <n v="96371"/>
  </r>
  <r>
    <x v="11"/>
    <x v="10"/>
    <x v="1"/>
    <n v="7"/>
    <n v="64302"/>
    <n v="85028"/>
  </r>
  <r>
    <x v="12"/>
    <x v="0"/>
    <x v="0"/>
    <n v="5"/>
    <n v="12101"/>
    <n v="73380.272727272706"/>
  </r>
  <r>
    <x v="13"/>
    <x v="1"/>
    <x v="1"/>
    <n v="4"/>
    <n v="41447"/>
    <n v="74189.468531468607"/>
  </r>
  <r>
    <x v="14"/>
    <x v="2"/>
    <x v="2"/>
    <n v="3"/>
    <n v="84332"/>
    <n v="74998.664335664405"/>
  </r>
  <r>
    <x v="15"/>
    <x v="3"/>
    <x v="0"/>
    <n v="5"/>
    <n v="25564"/>
    <n v="75807.860139860204"/>
  </r>
  <r>
    <x v="16"/>
    <x v="4"/>
    <x v="1"/>
    <n v="6"/>
    <n v="48606"/>
    <n v="76617.055944056003"/>
  </r>
  <r>
    <x v="17"/>
    <x v="2"/>
    <x v="1"/>
    <n v="2"/>
    <n v="97506"/>
    <n v="77426.251748251801"/>
  </r>
  <r>
    <x v="18"/>
    <x v="5"/>
    <x v="2"/>
    <n v="3"/>
    <n v="23245"/>
    <n v="78235.4475524476"/>
  </r>
  <r>
    <x v="19"/>
    <x v="6"/>
    <x v="0"/>
    <n v="5"/>
    <n v="83534"/>
    <n v="79044.643356643399"/>
  </r>
  <r>
    <x v="20"/>
    <x v="7"/>
    <x v="1"/>
    <n v="6"/>
    <n v="46234"/>
    <n v="79853.839160839198"/>
  </r>
  <r>
    <x v="21"/>
    <x v="8"/>
    <x v="2"/>
    <n v="2"/>
    <n v="31900"/>
    <n v="80663.034965034996"/>
  </r>
  <r>
    <x v="22"/>
    <x v="9"/>
    <x v="2"/>
    <n v="7"/>
    <n v="48826"/>
    <n v="81472.230769230795"/>
  </r>
  <r>
    <x v="23"/>
    <x v="10"/>
    <x v="1"/>
    <n v="7"/>
    <n v="77889"/>
    <n v="82281.426573426594"/>
  </r>
  <r>
    <x v="24"/>
    <x v="0"/>
    <x v="0"/>
    <n v="7"/>
    <n v="13295"/>
    <n v="83090.622377622407"/>
  </r>
  <r>
    <x v="25"/>
    <x v="1"/>
    <x v="1"/>
    <n v="7"/>
    <n v="20709"/>
    <n v="83899.818181818206"/>
  </r>
  <r>
    <x v="26"/>
    <x v="2"/>
    <x v="2"/>
    <n v="7"/>
    <n v="59471"/>
    <n v="84709.013986014004"/>
  </r>
  <r>
    <x v="27"/>
    <x v="3"/>
    <x v="0"/>
    <n v="2"/>
    <n v="46251"/>
    <n v="85518.209790209803"/>
  </r>
  <r>
    <x v="28"/>
    <x v="4"/>
    <x v="1"/>
    <n v="3"/>
    <n v="10130"/>
    <n v="86327.405594405602"/>
  </r>
  <r>
    <x v="29"/>
    <x v="2"/>
    <x v="1"/>
    <n v="5"/>
    <n v="95766"/>
    <n v="87136.6013986014"/>
  </r>
  <r>
    <x v="30"/>
    <x v="5"/>
    <x v="2"/>
    <n v="6"/>
    <n v="49103"/>
    <n v="87945.797202797199"/>
  </r>
  <r>
    <x v="31"/>
    <x v="6"/>
    <x v="0"/>
    <n v="2"/>
    <n v="33338"/>
    <n v="88754.993006992998"/>
  </r>
  <r>
    <x v="32"/>
    <x v="7"/>
    <x v="1"/>
    <n v="7"/>
    <n v="20311"/>
    <n v="89564.188811188797"/>
  </r>
  <r>
    <x v="33"/>
    <x v="8"/>
    <x v="2"/>
    <n v="2"/>
    <n v="27244"/>
    <n v="90373.384615384595"/>
  </r>
  <r>
    <x v="34"/>
    <x v="9"/>
    <x v="2"/>
    <n v="3"/>
    <n v="64610"/>
    <n v="91182.580419580394"/>
  </r>
  <r>
    <x v="35"/>
    <x v="10"/>
    <x v="1"/>
    <n v="5"/>
    <n v="22312"/>
    <n v="91991.776223776207"/>
  </r>
  <r>
    <x v="36"/>
    <x v="0"/>
    <x v="0"/>
    <n v="6"/>
    <n v="16325"/>
    <n v="92800.972027972006"/>
  </r>
  <r>
    <x v="37"/>
    <x v="1"/>
    <x v="1"/>
    <n v="2"/>
    <n v="78915"/>
    <n v="93610.167832167805"/>
  </r>
  <r>
    <x v="38"/>
    <x v="2"/>
    <x v="2"/>
    <n v="7"/>
    <n v="6444"/>
    <n v="94419.3636363636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24956-9A48-4E4F-9474-C6468FF326A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6">
    <pivotField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showAll="0">
      <items count="12">
        <item x="0"/>
        <item x="8"/>
        <item x="9"/>
        <item x="1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5D8BC-328E-49A2-B3ED-3F0EF0F2BE9C}">
  <dimension ref="A3:B7"/>
  <sheetViews>
    <sheetView tabSelected="1" workbookViewId="0">
      <selection activeCell="L12" sqref="L12"/>
    </sheetView>
  </sheetViews>
  <sheetFormatPr defaultRowHeight="14.5" x14ac:dyDescent="0.35"/>
  <cols>
    <col min="1" max="1" width="12.36328125" bestFit="1" customWidth="1"/>
    <col min="2" max="2" width="16.08984375" bestFit="1" customWidth="1"/>
    <col min="3" max="3" width="13" bestFit="1" customWidth="1"/>
  </cols>
  <sheetData>
    <row r="3" spans="1:2" x14ac:dyDescent="0.35">
      <c r="A3" s="20" t="s">
        <v>137</v>
      </c>
      <c r="B3" t="s">
        <v>139</v>
      </c>
    </row>
    <row r="4" spans="1:2" x14ac:dyDescent="0.35">
      <c r="A4" s="21" t="s">
        <v>8</v>
      </c>
      <c r="B4" s="22">
        <v>341154</v>
      </c>
    </row>
    <row r="5" spans="1:2" x14ac:dyDescent="0.35">
      <c r="A5" s="21" t="s">
        <v>11</v>
      </c>
      <c r="B5" s="22">
        <v>846696</v>
      </c>
    </row>
    <row r="6" spans="1:2" x14ac:dyDescent="0.35">
      <c r="A6" s="21" t="s">
        <v>14</v>
      </c>
      <c r="B6" s="22">
        <v>664468</v>
      </c>
    </row>
    <row r="7" spans="1:2" x14ac:dyDescent="0.35">
      <c r="A7" s="21" t="s">
        <v>138</v>
      </c>
      <c r="B7" s="22">
        <v>1852318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59EEE-2437-4779-91F2-CC9379834E29}">
  <dimension ref="A1:J40"/>
  <sheetViews>
    <sheetView zoomScale="62" workbookViewId="0"/>
  </sheetViews>
  <sheetFormatPr defaultRowHeight="14.5" x14ac:dyDescent="0.35"/>
  <cols>
    <col min="1" max="1" width="7.54296875" bestFit="1" customWidth="1"/>
    <col min="2" max="2" width="12" bestFit="1" customWidth="1"/>
    <col min="3" max="3" width="11.08984375" bestFit="1" customWidth="1"/>
    <col min="4" max="4" width="18.81640625" customWidth="1"/>
    <col min="5" max="5" width="14.81640625" customWidth="1"/>
    <col min="6" max="6" width="10.26953125" bestFit="1" customWidth="1"/>
    <col min="9" max="9" width="14.1796875" customWidth="1"/>
    <col min="10" max="10" width="14.08984375" bestFit="1" customWidth="1"/>
  </cols>
  <sheetData>
    <row r="1" spans="1:10" ht="15" thickBot="1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0" ht="15" thickBot="1" x14ac:dyDescent="0.4">
      <c r="A2" s="4" t="s">
        <v>6</v>
      </c>
      <c r="B2" s="5" t="s">
        <v>7</v>
      </c>
      <c r="C2" s="6" t="s">
        <v>8</v>
      </c>
      <c r="D2" s="7">
        <v>5</v>
      </c>
      <c r="E2" s="7">
        <v>67952</v>
      </c>
      <c r="F2" s="8">
        <v>41954</v>
      </c>
    </row>
    <row r="3" spans="1:10" ht="15" thickBot="1" x14ac:dyDescent="0.4">
      <c r="A3" s="4" t="s">
        <v>9</v>
      </c>
      <c r="B3" s="5" t="s">
        <v>10</v>
      </c>
      <c r="C3" s="6" t="s">
        <v>11</v>
      </c>
      <c r="D3" s="7">
        <v>4</v>
      </c>
      <c r="E3" s="7">
        <v>72227</v>
      </c>
      <c r="F3" s="8">
        <v>49855</v>
      </c>
      <c r="H3" s="15">
        <v>1</v>
      </c>
      <c r="I3" s="12" t="s">
        <v>0</v>
      </c>
      <c r="J3" s="13" t="s">
        <v>0</v>
      </c>
    </row>
    <row r="4" spans="1:10" ht="15" thickBot="1" x14ac:dyDescent="0.4">
      <c r="A4" s="4" t="s">
        <v>12</v>
      </c>
      <c r="B4" s="5" t="s">
        <v>13</v>
      </c>
      <c r="C4" s="6" t="s">
        <v>14</v>
      </c>
      <c r="D4" s="7">
        <v>3</v>
      </c>
      <c r="E4" s="7">
        <v>20646</v>
      </c>
      <c r="F4" s="8">
        <v>94210</v>
      </c>
      <c r="H4" s="15">
        <v>2</v>
      </c>
      <c r="I4" s="14" t="s">
        <v>1</v>
      </c>
      <c r="J4" s="13" t="str">
        <f>VLOOKUP($J$3,$A$1:$F$40,$H4,0)</f>
        <v>Name</v>
      </c>
    </row>
    <row r="5" spans="1:10" ht="17.5" customHeight="1" thickBot="1" x14ac:dyDescent="0.4">
      <c r="A5" s="4" t="s">
        <v>15</v>
      </c>
      <c r="B5" s="5" t="s">
        <v>16</v>
      </c>
      <c r="C5" s="6" t="s">
        <v>8</v>
      </c>
      <c r="D5" s="7">
        <v>5</v>
      </c>
      <c r="E5" s="7">
        <v>35388</v>
      </c>
      <c r="F5" s="8">
        <v>74689</v>
      </c>
      <c r="H5" s="15">
        <v>3</v>
      </c>
      <c r="I5" s="14" t="s">
        <v>2</v>
      </c>
      <c r="J5" s="13" t="str">
        <f t="shared" ref="J5:J8" si="0">VLOOKUP($J$3,$A$1:$F$40,$H5,0)</f>
        <v>Department</v>
      </c>
    </row>
    <row r="6" spans="1:10" ht="17.5" customHeight="1" thickBot="1" x14ac:dyDescent="0.4">
      <c r="A6" s="4" t="s">
        <v>17</v>
      </c>
      <c r="B6" s="5" t="s">
        <v>18</v>
      </c>
      <c r="C6" s="6" t="s">
        <v>11</v>
      </c>
      <c r="D6" s="7">
        <v>6</v>
      </c>
      <c r="E6" s="7">
        <v>29248</v>
      </c>
      <c r="F6" s="8">
        <v>90652</v>
      </c>
      <c r="H6" s="15">
        <v>4</v>
      </c>
      <c r="I6" s="14" t="s">
        <v>3</v>
      </c>
      <c r="J6" s="13" t="str">
        <f t="shared" si="0"/>
        <v>Working (years)</v>
      </c>
    </row>
    <row r="7" spans="1:10" ht="17.5" customHeight="1" thickBot="1" x14ac:dyDescent="0.4">
      <c r="A7" s="4" t="s">
        <v>19</v>
      </c>
      <c r="B7" s="5" t="s">
        <v>13</v>
      </c>
      <c r="C7" s="6" t="s">
        <v>11</v>
      </c>
      <c r="D7" s="7">
        <v>2</v>
      </c>
      <c r="E7" s="7">
        <v>90338</v>
      </c>
      <c r="F7" s="8">
        <v>74820</v>
      </c>
      <c r="H7" s="15">
        <v>5</v>
      </c>
      <c r="I7" s="14" t="s">
        <v>4</v>
      </c>
      <c r="J7" s="13" t="str">
        <f t="shared" si="0"/>
        <v>Total Sales</v>
      </c>
    </row>
    <row r="8" spans="1:10" ht="15" thickBot="1" x14ac:dyDescent="0.4">
      <c r="A8" s="4" t="s">
        <v>20</v>
      </c>
      <c r="B8" s="5" t="s">
        <v>21</v>
      </c>
      <c r="C8" s="6" t="s">
        <v>14</v>
      </c>
      <c r="D8" s="7">
        <v>3</v>
      </c>
      <c r="E8" s="7">
        <v>91732</v>
      </c>
      <c r="F8" s="8">
        <v>85206</v>
      </c>
      <c r="H8" s="15">
        <v>6</v>
      </c>
      <c r="I8" s="14" t="s">
        <v>5</v>
      </c>
      <c r="J8" s="13" t="str">
        <f t="shared" si="0"/>
        <v>Salary</v>
      </c>
    </row>
    <row r="9" spans="1:10" ht="15" thickBot="1" x14ac:dyDescent="0.4">
      <c r="A9" s="4" t="s">
        <v>22</v>
      </c>
      <c r="B9" s="5" t="s">
        <v>23</v>
      </c>
      <c r="C9" s="6" t="s">
        <v>8</v>
      </c>
      <c r="D9" s="7">
        <v>5</v>
      </c>
      <c r="E9" s="7">
        <v>7406</v>
      </c>
      <c r="F9" s="8">
        <v>30924</v>
      </c>
    </row>
    <row r="10" spans="1:10" ht="15" thickBot="1" x14ac:dyDescent="0.4">
      <c r="A10" s="4" t="s">
        <v>24</v>
      </c>
      <c r="B10" s="5" t="s">
        <v>25</v>
      </c>
      <c r="C10" s="6" t="s">
        <v>11</v>
      </c>
      <c r="D10" s="7">
        <v>6</v>
      </c>
      <c r="E10" s="7">
        <v>30756</v>
      </c>
      <c r="F10" s="8">
        <v>57737</v>
      </c>
    </row>
    <row r="11" spans="1:10" ht="15" thickBot="1" x14ac:dyDescent="0.4">
      <c r="A11" s="4" t="s">
        <v>26</v>
      </c>
      <c r="B11" s="5" t="s">
        <v>27</v>
      </c>
      <c r="C11" s="6" t="s">
        <v>14</v>
      </c>
      <c r="D11" s="7">
        <v>2</v>
      </c>
      <c r="E11" s="7">
        <v>80778</v>
      </c>
      <c r="F11" s="8">
        <v>36000</v>
      </c>
      <c r="I11" s="12" t="s">
        <v>0</v>
      </c>
      <c r="J11" s="13" t="s">
        <v>0</v>
      </c>
    </row>
    <row r="12" spans="1:10" ht="15" thickBot="1" x14ac:dyDescent="0.4">
      <c r="A12" s="4" t="s">
        <v>28</v>
      </c>
      <c r="B12" s="5" t="s">
        <v>29</v>
      </c>
      <c r="C12" s="6" t="s">
        <v>14</v>
      </c>
      <c r="D12" s="7">
        <v>7</v>
      </c>
      <c r="E12" s="7">
        <v>76137</v>
      </c>
      <c r="F12" s="8">
        <v>96371</v>
      </c>
      <c r="I12" s="14" t="s">
        <v>1</v>
      </c>
      <c r="J12" s="13" t="str">
        <f>VLOOKUP($J$3,$A$1:$F$40,ROW()-10,0)</f>
        <v>Name</v>
      </c>
    </row>
    <row r="13" spans="1:10" ht="15" thickBot="1" x14ac:dyDescent="0.4">
      <c r="A13" s="4" t="s">
        <v>30</v>
      </c>
      <c r="B13" s="5" t="s">
        <v>31</v>
      </c>
      <c r="C13" s="6" t="s">
        <v>11</v>
      </c>
      <c r="D13" s="7">
        <v>7</v>
      </c>
      <c r="E13" s="7">
        <v>64302</v>
      </c>
      <c r="F13" s="8">
        <v>85028</v>
      </c>
      <c r="I13" s="14" t="s">
        <v>2</v>
      </c>
      <c r="J13" s="13" t="str">
        <f t="shared" ref="J13:J16" si="1">VLOOKUP($J$3,$A$1:$F$40,ROW()-10,0)</f>
        <v>Department</v>
      </c>
    </row>
    <row r="14" spans="1:10" ht="15" thickBot="1" x14ac:dyDescent="0.4">
      <c r="A14" s="4" t="s">
        <v>32</v>
      </c>
      <c r="B14" s="5" t="s">
        <v>7</v>
      </c>
      <c r="C14" s="6" t="s">
        <v>8</v>
      </c>
      <c r="D14" s="7">
        <v>5</v>
      </c>
      <c r="E14" s="7">
        <v>12101</v>
      </c>
      <c r="F14" s="8">
        <v>73380.272727272706</v>
      </c>
      <c r="I14" s="14" t="s">
        <v>3</v>
      </c>
      <c r="J14" s="13" t="str">
        <f t="shared" si="1"/>
        <v>Working (years)</v>
      </c>
    </row>
    <row r="15" spans="1:10" ht="15" thickBot="1" x14ac:dyDescent="0.4">
      <c r="A15" s="4" t="s">
        <v>33</v>
      </c>
      <c r="B15" s="5" t="s">
        <v>10</v>
      </c>
      <c r="C15" s="6" t="s">
        <v>11</v>
      </c>
      <c r="D15" s="7">
        <v>4</v>
      </c>
      <c r="E15" s="7">
        <v>41447</v>
      </c>
      <c r="F15" s="8">
        <v>74189.468531468607</v>
      </c>
      <c r="I15" s="14" t="s">
        <v>4</v>
      </c>
      <c r="J15" s="13" t="str">
        <f t="shared" si="1"/>
        <v>Total Sales</v>
      </c>
    </row>
    <row r="16" spans="1:10" ht="15" thickBot="1" x14ac:dyDescent="0.4">
      <c r="A16" s="4" t="s">
        <v>34</v>
      </c>
      <c r="B16" s="5" t="s">
        <v>13</v>
      </c>
      <c r="C16" s="6" t="s">
        <v>14</v>
      </c>
      <c r="D16" s="7">
        <v>3</v>
      </c>
      <c r="E16" s="7">
        <v>84332</v>
      </c>
      <c r="F16" s="8">
        <v>74998.664335664405</v>
      </c>
      <c r="I16" s="14" t="s">
        <v>5</v>
      </c>
      <c r="J16" s="13" t="str">
        <f t="shared" si="1"/>
        <v>Salary</v>
      </c>
    </row>
    <row r="17" spans="1:10" ht="15" thickBot="1" x14ac:dyDescent="0.4">
      <c r="A17" s="4" t="s">
        <v>35</v>
      </c>
      <c r="B17" s="5" t="s">
        <v>16</v>
      </c>
      <c r="C17" s="6" t="s">
        <v>8</v>
      </c>
      <c r="D17" s="7">
        <v>5</v>
      </c>
      <c r="E17" s="7">
        <v>25564</v>
      </c>
      <c r="F17" s="8">
        <v>75807.860139860204</v>
      </c>
    </row>
    <row r="18" spans="1:10" ht="15" thickBot="1" x14ac:dyDescent="0.4">
      <c r="A18" s="4" t="s">
        <v>36</v>
      </c>
      <c r="B18" s="5" t="s">
        <v>18</v>
      </c>
      <c r="C18" s="6" t="s">
        <v>11</v>
      </c>
      <c r="D18" s="7">
        <v>6</v>
      </c>
      <c r="E18" s="7">
        <v>48606</v>
      </c>
      <c r="F18" s="8">
        <v>76617.055944056003</v>
      </c>
    </row>
    <row r="19" spans="1:10" ht="15" thickBot="1" x14ac:dyDescent="0.4">
      <c r="A19" s="4" t="s">
        <v>37</v>
      </c>
      <c r="B19" s="5" t="s">
        <v>13</v>
      </c>
      <c r="C19" s="6" t="s">
        <v>11</v>
      </c>
      <c r="D19" s="7">
        <v>2</v>
      </c>
      <c r="E19" s="7">
        <v>97506</v>
      </c>
      <c r="F19" s="8">
        <v>77426.251748251801</v>
      </c>
      <c r="I19" s="12" t="s">
        <v>0</v>
      </c>
      <c r="J19" s="13" t="s">
        <v>0</v>
      </c>
    </row>
    <row r="20" spans="1:10" ht="15" thickBot="1" x14ac:dyDescent="0.4">
      <c r="A20" s="4" t="s">
        <v>38</v>
      </c>
      <c r="B20" s="5" t="s">
        <v>21</v>
      </c>
      <c r="C20" s="6" t="s">
        <v>14</v>
      </c>
      <c r="D20" s="7">
        <v>3</v>
      </c>
      <c r="E20" s="7">
        <v>23245</v>
      </c>
      <c r="F20" s="8">
        <v>78235.4475524476</v>
      </c>
      <c r="I20" s="14" t="s">
        <v>1</v>
      </c>
      <c r="J20" s="13" t="str">
        <f>VLOOKUP($J$19,$A$1:$F$40,MATCH($I20,$A$1:$F$1,0),0)</f>
        <v>Name</v>
      </c>
    </row>
    <row r="21" spans="1:10" ht="15" thickBot="1" x14ac:dyDescent="0.4">
      <c r="A21" s="4" t="s">
        <v>39</v>
      </c>
      <c r="B21" s="5" t="s">
        <v>23</v>
      </c>
      <c r="C21" s="6" t="s">
        <v>8</v>
      </c>
      <c r="D21" s="7">
        <v>5</v>
      </c>
      <c r="E21" s="7">
        <v>83534</v>
      </c>
      <c r="F21" s="8">
        <v>79044.643356643399</v>
      </c>
      <c r="I21" s="14" t="s">
        <v>2</v>
      </c>
      <c r="J21" s="13" t="str">
        <f t="shared" ref="J21:J24" si="2">VLOOKUP($J$19,$A$1:$F$40,MATCH($I21,$A$1:$F$1,0),0)</f>
        <v>Department</v>
      </c>
    </row>
    <row r="22" spans="1:10" ht="15" thickBot="1" x14ac:dyDescent="0.4">
      <c r="A22" s="4" t="s">
        <v>40</v>
      </c>
      <c r="B22" s="5" t="s">
        <v>25</v>
      </c>
      <c r="C22" s="6" t="s">
        <v>11</v>
      </c>
      <c r="D22" s="7">
        <v>6</v>
      </c>
      <c r="E22" s="7">
        <v>46234</v>
      </c>
      <c r="F22" s="8">
        <v>79853.839160839198</v>
      </c>
      <c r="I22" s="14" t="s">
        <v>3</v>
      </c>
      <c r="J22" s="13" t="str">
        <f t="shared" si="2"/>
        <v>Working (years)</v>
      </c>
    </row>
    <row r="23" spans="1:10" ht="15" thickBot="1" x14ac:dyDescent="0.4">
      <c r="A23" s="4" t="s">
        <v>41</v>
      </c>
      <c r="B23" s="5" t="s">
        <v>27</v>
      </c>
      <c r="C23" s="6" t="s">
        <v>14</v>
      </c>
      <c r="D23" s="7">
        <v>2</v>
      </c>
      <c r="E23" s="7">
        <v>31900</v>
      </c>
      <c r="F23" s="8">
        <v>80663.034965034996</v>
      </c>
      <c r="I23" s="14" t="s">
        <v>4</v>
      </c>
      <c r="J23" s="13" t="str">
        <f t="shared" si="2"/>
        <v>Total Sales</v>
      </c>
    </row>
    <row r="24" spans="1:10" ht="15" thickBot="1" x14ac:dyDescent="0.4">
      <c r="A24" s="4" t="s">
        <v>42</v>
      </c>
      <c r="B24" s="5" t="s">
        <v>29</v>
      </c>
      <c r="C24" s="6" t="s">
        <v>14</v>
      </c>
      <c r="D24" s="7">
        <v>7</v>
      </c>
      <c r="E24" s="7">
        <v>48826</v>
      </c>
      <c r="F24" s="8">
        <v>81472.230769230795</v>
      </c>
      <c r="I24" s="14" t="s">
        <v>5</v>
      </c>
      <c r="J24" s="13" t="str">
        <f t="shared" si="2"/>
        <v>Salary</v>
      </c>
    </row>
    <row r="25" spans="1:10" ht="15" thickBot="1" x14ac:dyDescent="0.4">
      <c r="A25" s="4" t="s">
        <v>43</v>
      </c>
      <c r="B25" s="5" t="s">
        <v>31</v>
      </c>
      <c r="C25" s="6" t="s">
        <v>11</v>
      </c>
      <c r="D25" s="7">
        <v>7</v>
      </c>
      <c r="E25" s="7">
        <v>77889</v>
      </c>
      <c r="F25" s="8">
        <v>82281.426573426594</v>
      </c>
    </row>
    <row r="26" spans="1:10" ht="15" thickBot="1" x14ac:dyDescent="0.4">
      <c r="A26" s="4" t="s">
        <v>44</v>
      </c>
      <c r="B26" s="5" t="s">
        <v>7</v>
      </c>
      <c r="C26" s="6" t="s">
        <v>8</v>
      </c>
      <c r="D26" s="7">
        <v>7</v>
      </c>
      <c r="E26" s="7">
        <v>13295</v>
      </c>
      <c r="F26" s="8">
        <v>83090.622377622407</v>
      </c>
    </row>
    <row r="27" spans="1:10" ht="15" thickBot="1" x14ac:dyDescent="0.4">
      <c r="A27" s="4" t="s">
        <v>45</v>
      </c>
      <c r="B27" s="5" t="s">
        <v>10</v>
      </c>
      <c r="C27" s="6" t="s">
        <v>11</v>
      </c>
      <c r="D27" s="7">
        <v>7</v>
      </c>
      <c r="E27" s="7">
        <v>20709</v>
      </c>
      <c r="F27" s="8">
        <v>83899.818181818206</v>
      </c>
    </row>
    <row r="28" spans="1:10" ht="15" thickBot="1" x14ac:dyDescent="0.4">
      <c r="A28" s="4" t="s">
        <v>46</v>
      </c>
      <c r="B28" s="5" t="s">
        <v>13</v>
      </c>
      <c r="C28" s="6" t="s">
        <v>14</v>
      </c>
      <c r="D28" s="7">
        <v>7</v>
      </c>
      <c r="E28" s="7">
        <v>59471</v>
      </c>
      <c r="F28" s="8">
        <v>84709.013986014004</v>
      </c>
    </row>
    <row r="29" spans="1:10" ht="15" thickBot="1" x14ac:dyDescent="0.4">
      <c r="A29" s="4" t="s">
        <v>47</v>
      </c>
      <c r="B29" s="5" t="s">
        <v>16</v>
      </c>
      <c r="C29" s="6" t="s">
        <v>8</v>
      </c>
      <c r="D29" s="7">
        <v>2</v>
      </c>
      <c r="E29" s="7">
        <v>46251</v>
      </c>
      <c r="F29" s="8">
        <v>85518.209790209803</v>
      </c>
    </row>
    <row r="30" spans="1:10" ht="15" thickBot="1" x14ac:dyDescent="0.4">
      <c r="A30" s="4" t="s">
        <v>48</v>
      </c>
      <c r="B30" s="5" t="s">
        <v>18</v>
      </c>
      <c r="C30" s="6" t="s">
        <v>11</v>
      </c>
      <c r="D30" s="7">
        <v>3</v>
      </c>
      <c r="E30" s="7">
        <v>10130</v>
      </c>
      <c r="F30" s="8">
        <v>86327.405594405602</v>
      </c>
    </row>
    <row r="31" spans="1:10" ht="15" thickBot="1" x14ac:dyDescent="0.4">
      <c r="A31" s="4" t="s">
        <v>49</v>
      </c>
      <c r="B31" s="5" t="s">
        <v>13</v>
      </c>
      <c r="C31" s="6" t="s">
        <v>11</v>
      </c>
      <c r="D31" s="7">
        <v>5</v>
      </c>
      <c r="E31" s="7">
        <v>95766</v>
      </c>
      <c r="F31" s="8">
        <v>87136.6013986014</v>
      </c>
    </row>
    <row r="32" spans="1:10" ht="15" thickBot="1" x14ac:dyDescent="0.4">
      <c r="A32" s="4" t="s">
        <v>50</v>
      </c>
      <c r="B32" s="5" t="s">
        <v>21</v>
      </c>
      <c r="C32" s="6" t="s">
        <v>14</v>
      </c>
      <c r="D32" s="7">
        <v>6</v>
      </c>
      <c r="E32" s="7">
        <v>49103</v>
      </c>
      <c r="F32" s="8">
        <v>87945.797202797199</v>
      </c>
    </row>
    <row r="33" spans="1:6" ht="15" thickBot="1" x14ac:dyDescent="0.4">
      <c r="A33" s="4" t="s">
        <v>51</v>
      </c>
      <c r="B33" s="5" t="s">
        <v>23</v>
      </c>
      <c r="C33" s="6" t="s">
        <v>8</v>
      </c>
      <c r="D33" s="7">
        <v>2</v>
      </c>
      <c r="E33" s="7">
        <v>33338</v>
      </c>
      <c r="F33" s="8">
        <v>88754.993006992998</v>
      </c>
    </row>
    <row r="34" spans="1:6" ht="15" thickBot="1" x14ac:dyDescent="0.4">
      <c r="A34" s="4" t="s">
        <v>52</v>
      </c>
      <c r="B34" s="5" t="s">
        <v>25</v>
      </c>
      <c r="C34" s="6" t="s">
        <v>11</v>
      </c>
      <c r="D34" s="7">
        <v>7</v>
      </c>
      <c r="E34" s="7">
        <v>20311</v>
      </c>
      <c r="F34" s="8">
        <v>89564.188811188797</v>
      </c>
    </row>
    <row r="35" spans="1:6" ht="15" thickBot="1" x14ac:dyDescent="0.4">
      <c r="A35" s="4" t="s">
        <v>53</v>
      </c>
      <c r="B35" s="5" t="s">
        <v>27</v>
      </c>
      <c r="C35" s="6" t="s">
        <v>14</v>
      </c>
      <c r="D35" s="7">
        <v>2</v>
      </c>
      <c r="E35" s="7">
        <v>27244</v>
      </c>
      <c r="F35" s="8">
        <v>90373.384615384595</v>
      </c>
    </row>
    <row r="36" spans="1:6" ht="15" thickBot="1" x14ac:dyDescent="0.4">
      <c r="A36" s="4" t="s">
        <v>54</v>
      </c>
      <c r="B36" s="5" t="s">
        <v>29</v>
      </c>
      <c r="C36" s="6" t="s">
        <v>14</v>
      </c>
      <c r="D36" s="7">
        <v>3</v>
      </c>
      <c r="E36" s="7">
        <v>64610</v>
      </c>
      <c r="F36" s="8">
        <v>91182.580419580394</v>
      </c>
    </row>
    <row r="37" spans="1:6" ht="15" thickBot="1" x14ac:dyDescent="0.4">
      <c r="A37" s="4" t="s">
        <v>55</v>
      </c>
      <c r="B37" s="5" t="s">
        <v>31</v>
      </c>
      <c r="C37" s="6" t="s">
        <v>11</v>
      </c>
      <c r="D37" s="7">
        <v>5</v>
      </c>
      <c r="E37" s="7">
        <v>22312</v>
      </c>
      <c r="F37" s="8">
        <v>91991.776223776207</v>
      </c>
    </row>
    <row r="38" spans="1:6" ht="15" thickBot="1" x14ac:dyDescent="0.4">
      <c r="A38" s="4" t="s">
        <v>56</v>
      </c>
      <c r="B38" s="5" t="s">
        <v>7</v>
      </c>
      <c r="C38" s="6" t="s">
        <v>8</v>
      </c>
      <c r="D38" s="7">
        <v>6</v>
      </c>
      <c r="E38" s="7">
        <v>16325</v>
      </c>
      <c r="F38" s="8">
        <v>92800.972027972006</v>
      </c>
    </row>
    <row r="39" spans="1:6" ht="15" thickBot="1" x14ac:dyDescent="0.4">
      <c r="A39" s="4" t="s">
        <v>57</v>
      </c>
      <c r="B39" s="5" t="s">
        <v>10</v>
      </c>
      <c r="C39" s="6" t="s">
        <v>11</v>
      </c>
      <c r="D39" s="7">
        <v>2</v>
      </c>
      <c r="E39" s="7">
        <v>78915</v>
      </c>
      <c r="F39" s="8">
        <v>93610.167832167805</v>
      </c>
    </row>
    <row r="40" spans="1:6" ht="15" thickBot="1" x14ac:dyDescent="0.4">
      <c r="A40" s="4" t="s">
        <v>58</v>
      </c>
      <c r="B40" s="5" t="s">
        <v>13</v>
      </c>
      <c r="C40" s="6" t="s">
        <v>14</v>
      </c>
      <c r="D40" s="7">
        <v>7</v>
      </c>
      <c r="E40" s="7">
        <v>6444</v>
      </c>
      <c r="F40" s="8">
        <v>94419.363636363603</v>
      </c>
    </row>
  </sheetData>
  <dataValidations count="1">
    <dataValidation type="list" allowBlank="1" showInputMessage="1" showErrorMessage="1" sqref="J3 J11 J19" xr:uid="{7BFC4DFA-EE4E-49F3-8E1C-F70CD1A7EE89}">
      <formula1>$A:$A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8A228-152F-4B7A-AB8D-7482F823F972}">
  <dimension ref="A1:J15"/>
  <sheetViews>
    <sheetView topLeftCell="A5" workbookViewId="0">
      <selection activeCell="E13" sqref="E13"/>
    </sheetView>
  </sheetViews>
  <sheetFormatPr defaultRowHeight="14.5" x14ac:dyDescent="0.35"/>
  <cols>
    <col min="1" max="1" width="16.1796875" bestFit="1" customWidth="1"/>
    <col min="2" max="2" width="27.36328125" bestFit="1" customWidth="1"/>
    <col min="3" max="3" width="27.6328125" bestFit="1" customWidth="1"/>
    <col min="4" max="4" width="26.453125" bestFit="1" customWidth="1"/>
    <col min="5" max="5" width="28.26953125" bestFit="1" customWidth="1"/>
    <col min="6" max="6" width="29.36328125" bestFit="1" customWidth="1"/>
    <col min="7" max="7" width="26" bestFit="1" customWidth="1"/>
    <col min="8" max="8" width="26.90625" bestFit="1" customWidth="1"/>
    <col min="9" max="9" width="26.6328125" bestFit="1" customWidth="1"/>
    <col min="10" max="10" width="27.36328125" bestFit="1" customWidth="1"/>
  </cols>
  <sheetData>
    <row r="1" spans="1:10" ht="15.5" x14ac:dyDescent="0.35">
      <c r="A1" s="9" t="s">
        <v>59</v>
      </c>
      <c r="B1" s="9" t="s">
        <v>60</v>
      </c>
      <c r="C1" s="9" t="s">
        <v>61</v>
      </c>
      <c r="D1" s="9" t="s">
        <v>62</v>
      </c>
      <c r="E1" s="9" t="s">
        <v>63</v>
      </c>
      <c r="F1" s="9" t="s">
        <v>64</v>
      </c>
      <c r="G1" s="9" t="s">
        <v>65</v>
      </c>
      <c r="H1" s="9" t="s">
        <v>66</v>
      </c>
      <c r="I1" s="9" t="s">
        <v>67</v>
      </c>
      <c r="J1" s="9" t="s">
        <v>68</v>
      </c>
    </row>
    <row r="2" spans="1:10" x14ac:dyDescent="0.35">
      <c r="A2" s="10" t="s">
        <v>69</v>
      </c>
      <c r="B2" s="10" t="s">
        <v>70</v>
      </c>
      <c r="C2" s="10" t="s">
        <v>71</v>
      </c>
      <c r="D2" s="10" t="s">
        <v>72</v>
      </c>
      <c r="E2" s="10" t="s">
        <v>73</v>
      </c>
      <c r="F2" s="11" t="s">
        <v>74</v>
      </c>
      <c r="G2" s="10" t="s">
        <v>75</v>
      </c>
      <c r="H2" s="10" t="s">
        <v>76</v>
      </c>
      <c r="I2" s="10" t="s">
        <v>77</v>
      </c>
      <c r="J2" s="10" t="s">
        <v>70</v>
      </c>
    </row>
    <row r="3" spans="1:10" x14ac:dyDescent="0.35">
      <c r="A3" s="10" t="s">
        <v>78</v>
      </c>
      <c r="B3" s="10" t="s">
        <v>79</v>
      </c>
      <c r="C3" s="10" t="s">
        <v>80</v>
      </c>
      <c r="D3" s="10" t="s">
        <v>81</v>
      </c>
      <c r="E3" s="10" t="s">
        <v>82</v>
      </c>
      <c r="F3" s="11" t="s">
        <v>74</v>
      </c>
      <c r="G3" s="10" t="s">
        <v>83</v>
      </c>
      <c r="H3" s="10" t="s">
        <v>84</v>
      </c>
      <c r="I3" s="10" t="s">
        <v>85</v>
      </c>
      <c r="J3" s="10" t="s">
        <v>79</v>
      </c>
    </row>
    <row r="4" spans="1:10" x14ac:dyDescent="0.35">
      <c r="A4" s="10" t="s">
        <v>86</v>
      </c>
      <c r="B4" s="10" t="s">
        <v>87</v>
      </c>
      <c r="C4" s="10" t="s">
        <v>88</v>
      </c>
      <c r="D4" s="10" t="s">
        <v>89</v>
      </c>
      <c r="E4" s="10" t="s">
        <v>90</v>
      </c>
      <c r="F4" s="11" t="s">
        <v>74</v>
      </c>
      <c r="G4" s="10" t="s">
        <v>91</v>
      </c>
      <c r="H4" s="10" t="s">
        <v>92</v>
      </c>
      <c r="I4" s="10" t="s">
        <v>93</v>
      </c>
      <c r="J4" s="10" t="s">
        <v>87</v>
      </c>
    </row>
    <row r="5" spans="1:10" x14ac:dyDescent="0.35">
      <c r="A5" s="10" t="s">
        <v>94</v>
      </c>
      <c r="B5" s="10" t="s">
        <v>95</v>
      </c>
      <c r="C5" s="10" t="s">
        <v>96</v>
      </c>
      <c r="D5" s="10" t="s">
        <v>97</v>
      </c>
      <c r="E5" s="10" t="s">
        <v>98</v>
      </c>
      <c r="F5" s="11" t="s">
        <v>74</v>
      </c>
      <c r="G5" s="10" t="s">
        <v>99</v>
      </c>
      <c r="H5" s="10" t="s">
        <v>100</v>
      </c>
      <c r="I5" s="10" t="s">
        <v>101</v>
      </c>
      <c r="J5" s="10" t="s">
        <v>95</v>
      </c>
    </row>
    <row r="6" spans="1:10" x14ac:dyDescent="0.35">
      <c r="A6" s="10" t="s">
        <v>102</v>
      </c>
      <c r="B6" s="10" t="s">
        <v>103</v>
      </c>
      <c r="C6" s="10" t="s">
        <v>104</v>
      </c>
      <c r="D6" s="10" t="s">
        <v>105</v>
      </c>
      <c r="E6" s="10" t="s">
        <v>106</v>
      </c>
      <c r="F6" s="11" t="s">
        <v>74</v>
      </c>
      <c r="G6" s="10" t="s">
        <v>107</v>
      </c>
      <c r="H6" s="10" t="s">
        <v>108</v>
      </c>
      <c r="I6" s="10" t="s">
        <v>109</v>
      </c>
      <c r="J6" s="10" t="s">
        <v>103</v>
      </c>
    </row>
    <row r="7" spans="1:10" x14ac:dyDescent="0.35">
      <c r="A7" s="10" t="s">
        <v>110</v>
      </c>
      <c r="B7" s="10" t="s">
        <v>111</v>
      </c>
      <c r="C7" s="10" t="s">
        <v>112</v>
      </c>
      <c r="D7" s="10" t="s">
        <v>113</v>
      </c>
      <c r="E7" s="10" t="s">
        <v>114</v>
      </c>
      <c r="F7" s="11" t="s">
        <v>74</v>
      </c>
      <c r="G7" s="10" t="s">
        <v>115</v>
      </c>
      <c r="H7" s="10" t="s">
        <v>116</v>
      </c>
      <c r="I7" s="10" t="s">
        <v>117</v>
      </c>
      <c r="J7" s="10" t="s">
        <v>111</v>
      </c>
    </row>
    <row r="8" spans="1:10" x14ac:dyDescent="0.35">
      <c r="A8" s="10" t="s">
        <v>118</v>
      </c>
      <c r="B8" s="10" t="s">
        <v>119</v>
      </c>
      <c r="C8" s="10" t="s">
        <v>120</v>
      </c>
      <c r="D8" s="10" t="s">
        <v>121</v>
      </c>
      <c r="E8" s="10" t="s">
        <v>122</v>
      </c>
      <c r="F8" s="11" t="s">
        <v>74</v>
      </c>
      <c r="G8" s="10" t="s">
        <v>123</v>
      </c>
      <c r="H8" s="10" t="s">
        <v>124</v>
      </c>
      <c r="I8" s="10" t="s">
        <v>125</v>
      </c>
      <c r="J8" s="10" t="s">
        <v>119</v>
      </c>
    </row>
    <row r="9" spans="1:10" x14ac:dyDescent="0.35">
      <c r="A9" s="10" t="s">
        <v>126</v>
      </c>
      <c r="B9" s="10" t="s">
        <v>127</v>
      </c>
      <c r="C9" s="10" t="s">
        <v>128</v>
      </c>
      <c r="D9" s="10" t="s">
        <v>129</v>
      </c>
      <c r="E9" s="10" t="s">
        <v>130</v>
      </c>
      <c r="F9" s="11" t="s">
        <v>74</v>
      </c>
      <c r="G9" s="10" t="s">
        <v>131</v>
      </c>
      <c r="H9" s="10" t="s">
        <v>132</v>
      </c>
      <c r="I9" s="10" t="s">
        <v>133</v>
      </c>
      <c r="J9" s="10" t="s">
        <v>127</v>
      </c>
    </row>
    <row r="12" spans="1:10" x14ac:dyDescent="0.35">
      <c r="B12" s="17" t="s">
        <v>134</v>
      </c>
      <c r="C12" s="17" t="s">
        <v>135</v>
      </c>
    </row>
    <row r="13" spans="1:10" x14ac:dyDescent="0.35">
      <c r="B13" s="18" t="s">
        <v>69</v>
      </c>
      <c r="C13" s="18" t="s">
        <v>61</v>
      </c>
    </row>
    <row r="14" spans="1:10" x14ac:dyDescent="0.35">
      <c r="A14" s="16"/>
      <c r="B14" s="18" t="str">
        <f>INDEX(A1:J9,7,4)</f>
        <v>Physical Education (Mr. White)</v>
      </c>
      <c r="C14" s="18" t="s">
        <v>136</v>
      </c>
    </row>
    <row r="15" spans="1:10" x14ac:dyDescent="0.35">
      <c r="B15" s="19" t="str">
        <f>INDEX($A$1:$J$9,MATCH($B$13,$A$1:$A$9,0),MATCH($C$13,$A$1:$J$1,0))</f>
        <v>Mathematics (Mr. Smith)</v>
      </c>
      <c r="C15" s="19"/>
    </row>
  </sheetData>
  <mergeCells count="1">
    <mergeCell ref="B15:C15"/>
  </mergeCells>
  <dataValidations count="2">
    <dataValidation type="list" allowBlank="1" showInputMessage="1" showErrorMessage="1" sqref="B13" xr:uid="{ADBF4AA2-CBC2-4DFD-A2FD-F69E9154EB99}">
      <formula1>$A$2:$A$9</formula1>
    </dataValidation>
    <dataValidation type="list" allowBlank="1" showInputMessage="1" showErrorMessage="1" sqref="C13" xr:uid="{CA3F6E19-4CF0-4707-91B4-CCEDCF249B45}">
      <formula1>$B$1:$J$1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kumar</dc:creator>
  <cp:lastModifiedBy>mayank bhatt</cp:lastModifiedBy>
  <dcterms:created xsi:type="dcterms:W3CDTF">2026-01-22T11:02:46Z</dcterms:created>
  <dcterms:modified xsi:type="dcterms:W3CDTF">2026-01-23T11:41:51Z</dcterms:modified>
</cp:coreProperties>
</file>